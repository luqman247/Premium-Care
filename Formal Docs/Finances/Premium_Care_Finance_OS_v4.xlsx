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Data Entry" sheetId="3" state="visible" r:id="rId3"/>
    <sheet xmlns:r="http://schemas.openxmlformats.org/officeDocument/2006/relationships" name="Management Accounts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orecast 60M" sheetId="7" state="visible" r:id="rId7"/>
    <sheet xmlns:r="http://schemas.openxmlformats.org/officeDocument/2006/relationships" name="Scenario Planning" sheetId="8" state="visible" r:id="rId8"/>
    <sheet xmlns:r="http://schemas.openxmlformats.org/officeDocument/2006/relationships" name="Revenue by Council" sheetId="9" state="visible" r:id="rId9"/>
    <sheet xmlns:r="http://schemas.openxmlformats.org/officeDocument/2006/relationships" name="Revenue by Service" sheetId="10" state="visible" r:id="rId10"/>
    <sheet xmlns:r="http://schemas.openxmlformats.org/officeDocument/2006/relationships" name="Payroll" sheetId="11" state="visible" r:id="rId11"/>
    <sheet xmlns:r="http://schemas.openxmlformats.org/officeDocument/2006/relationships" name="Tender Profitability" sheetId="12" state="visible" r:id="rId12"/>
    <sheet xmlns:r="http://schemas.openxmlformats.org/officeDocument/2006/relationships" name="Contracts" sheetId="13" state="visible" r:id="rId13"/>
    <sheet xmlns:r="http://schemas.openxmlformats.org/officeDocument/2006/relationships" name="Invoice Register" sheetId="14" state="visible" r:id="rId14"/>
    <sheet xmlns:r="http://schemas.openxmlformats.org/officeDocument/2006/relationships" name="Debtor Ageing" sheetId="15" state="visible" r:id="rId15"/>
    <sheet xmlns:r="http://schemas.openxmlformats.org/officeDocument/2006/relationships" name="Expense Register" sheetId="16" state="visible" r:id="rId16"/>
    <sheet xmlns:r="http://schemas.openxmlformats.org/officeDocument/2006/relationships" name="Fleet" sheetId="17" state="visible" r:id="rId17"/>
    <sheet xmlns:r="http://schemas.openxmlformats.org/officeDocument/2006/relationships" name="Properties" sheetId="18" state="visible" r:id="rId18"/>
    <sheet xmlns:r="http://schemas.openxmlformats.org/officeDocument/2006/relationships" name="Assets" sheetId="19" state="visible" r:id="rId19"/>
    <sheet xmlns:r="http://schemas.openxmlformats.org/officeDocument/2006/relationships" name="Risk Register" sheetId="20" state="visible" r:id="rId20"/>
    <sheet xmlns:r="http://schemas.openxmlformats.org/officeDocument/2006/relationships" name="CQC Compliance" sheetId="21" state="visible" r:id="rId21"/>
    <sheet xmlns:r="http://schemas.openxmlformats.org/officeDocument/2006/relationships" name="Recruitment" sheetId="22" state="visible" r:id="rId22"/>
    <sheet xmlns:r="http://schemas.openxmlformats.org/officeDocument/2006/relationships" name="Training" sheetId="23" state="visible" r:id="rId23"/>
    <sheet xmlns:r="http://schemas.openxmlformats.org/officeDocument/2006/relationships" name="Board Pack" sheetId="24" state="visible" r:id="rId24"/>
    <sheet xmlns:r="http://schemas.openxmlformats.org/officeDocument/2006/relationships" name="Investor Dashboard" sheetId="25" state="visible" r:id="rId25"/>
    <sheet xmlns:r="http://schemas.openxmlformats.org/officeDocument/2006/relationships" name="Document Register" sheetId="26" state="visible" r:id="rId26"/>
    <sheet xmlns:r="http://schemas.openxmlformats.org/officeDocument/2006/relationships" name="Audit Trail" sheetId="27" state="visible" r:id="rId27"/>
    <sheet xmlns:r="http://schemas.openxmlformats.org/officeDocument/2006/relationships" name="Setting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KPIs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Dashboard'!$A$3:$A$12</f>
            </numRef>
          </cat>
          <val>
            <numRef>
              <f>'Executive Dashboard'!$B$3:$B$12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60-Month Cash Position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Forecast 60M'!$A$3:$A$62</f>
            </numRef>
          </cat>
          <val>
            <numRef>
              <f>'Cash Forecast 60M'!$E$3:$E$62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 Planning'!$A$3:$A$5</f>
            </numRef>
          </cat>
          <val>
            <numRef>
              <f>'Scenario Planning'!$B$3:$B$5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nceInput" displayName="FinanceInput" ref="A2:F22" headerRowCount="1">
  <autoFilter ref="A2:F22"/>
  <tableColumns count="6">
    <tableColumn id="1" name="Date"/>
    <tableColumn id="2" name="Type"/>
    <tableColumn id="3" name="Department"/>
    <tableColumn id="4" name="Reference"/>
    <tableColumn id="5" name="Description"/>
    <tableColumn id="6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FINANCE OPERATING SYSTEM v4</t>
        </is>
      </c>
    </row>
    <row r="3">
      <c r="A3" t="inlineStr">
        <is>
          <t>Navigation</t>
        </is>
      </c>
    </row>
    <row r="4">
      <c r="A4" t="inlineStr">
        <is>
          <t>1. Executive Dashboard</t>
        </is>
      </c>
    </row>
    <row r="5">
      <c r="A5" t="inlineStr">
        <is>
          <t>2. Data Entry</t>
        </is>
      </c>
    </row>
    <row r="6">
      <c r="A6" t="inlineStr">
        <is>
          <t>3. Management Accounts</t>
        </is>
      </c>
    </row>
    <row r="7">
      <c r="A7" t="inlineStr">
        <is>
          <t>4. Forecasting</t>
        </is>
      </c>
    </row>
    <row r="8">
      <c r="A8" t="inlineStr">
        <is>
          <t>5. Operational Registers</t>
        </is>
      </c>
    </row>
    <row r="9">
      <c r="A9" t="inlineStr">
        <is>
          <t>6. Board Pack</t>
        </is>
      </c>
    </row>
    <row r="10">
      <c r="A10" t="inlineStr">
        <is>
          <t>7. Investor Dashboard</t>
        </is>
      </c>
    </row>
    <row r="11">
      <c r="A11" t="inlineStr">
        <is>
          <t>8. 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</t>
        </is>
      </c>
    </row>
    <row r="2">
      <c r="A2" s="2" t="inlineStr">
        <is>
          <t>KPI</t>
        </is>
      </c>
      <c r="B2" s="2" t="inlineStr">
        <is>
          <t>Current</t>
        </is>
      </c>
      <c r="C2" s="2" t="inlineStr">
        <is>
          <t>Target</t>
        </is>
      </c>
      <c r="D2" s="2" t="inlineStr">
        <is>
          <t>Status</t>
        </is>
      </c>
    </row>
    <row r="3">
      <c r="A3" t="inlineStr">
        <is>
          <t>Revenue</t>
        </is>
      </c>
      <c r="B3" t="n">
        <v>0</v>
      </c>
      <c r="C3" t="n">
        <v>250000</v>
      </c>
      <c r="D3" t="inlineStr"/>
    </row>
    <row r="4">
      <c r="A4" t="inlineStr">
        <is>
          <t>Gross Margin %</t>
        </is>
      </c>
      <c r="B4" t="n">
        <v>0</v>
      </c>
      <c r="C4" t="n">
        <v>40</v>
      </c>
      <c r="D4" t="inlineStr"/>
    </row>
    <row r="5">
      <c r="A5" t="inlineStr">
        <is>
          <t>Net Profit</t>
        </is>
      </c>
      <c r="B5" t="n">
        <v>0</v>
      </c>
      <c r="C5" t="n">
        <v>40000</v>
      </c>
      <c r="D5" t="inlineStr"/>
    </row>
    <row r="6">
      <c r="A6" t="inlineStr">
        <is>
          <t>Cash at Bank</t>
        </is>
      </c>
      <c r="B6" t="n">
        <v>0</v>
      </c>
      <c r="C6" t="n">
        <v>200000</v>
      </c>
      <c r="D6" t="inlineStr"/>
    </row>
    <row r="7">
      <c r="A7" t="inlineStr">
        <is>
          <t>Payroll %</t>
        </is>
      </c>
      <c r="B7" t="n">
        <v>0</v>
      </c>
      <c r="C7" t="n">
        <v>50</v>
      </c>
      <c r="D7" t="inlineStr"/>
    </row>
    <row r="8">
      <c r="A8" t="inlineStr">
        <is>
          <t>Care Hours</t>
        </is>
      </c>
      <c r="B8" t="n">
        <v>0</v>
      </c>
      <c r="C8" t="n">
        <v>7000</v>
      </c>
      <c r="D8" t="inlineStr"/>
    </row>
    <row r="9">
      <c r="A9" t="inlineStr">
        <is>
          <t>Clients</t>
        </is>
      </c>
      <c r="B9" t="n">
        <v>0</v>
      </c>
      <c r="C9" t="n">
        <v>250</v>
      </c>
      <c r="D9" t="inlineStr"/>
    </row>
    <row r="10">
      <c r="A10" t="inlineStr">
        <is>
          <t>Outstanding Debtors</t>
        </is>
      </c>
      <c r="B10" t="n">
        <v>0</v>
      </c>
      <c r="C10" t="n">
        <v>25000</v>
      </c>
      <c r="D10" t="inlineStr"/>
    </row>
    <row r="11">
      <c r="A11" t="inlineStr">
        <is>
          <t>CQC Compliance %</t>
        </is>
      </c>
      <c r="B11" t="n">
        <v>100</v>
      </c>
      <c r="C11" t="n">
        <v>100</v>
      </c>
      <c r="D11" t="inlineStr"/>
    </row>
    <row r="12">
      <c r="A12" t="inlineStr">
        <is>
          <t>Staff Utilisation %</t>
        </is>
      </c>
      <c r="B12" t="n">
        <v>0</v>
      </c>
      <c r="C12" t="n">
        <v>90</v>
      </c>
      <c r="D1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Entry</t>
        </is>
      </c>
    </row>
    <row r="2">
      <c r="A2" s="2" t="inlineStr">
        <is>
          <t>Date</t>
        </is>
      </c>
      <c r="B2" s="2" t="inlineStr">
        <is>
          <t>Type</t>
        </is>
      </c>
      <c r="C2" s="2" t="inlineStr">
        <is>
          <t>Department</t>
        </is>
      </c>
      <c r="D2" s="2" t="inlineStr">
        <is>
          <t>Reference</t>
        </is>
      </c>
      <c r="E2" s="2" t="inlineStr">
        <is>
          <t>Description</t>
        </is>
      </c>
      <c r="F2" s="2" t="inlineStr">
        <is>
          <t>Amount</t>
        </is>
      </c>
    </row>
  </sheetData>
  <dataValidations count="2">
    <dataValidation sqref="B3:B500" showDropDown="0" showInputMessage="0" showErrorMessage="0" allowBlank="0" type="list">
      <formula1>"Income,Expense,Payroll,Asset,Invoice"</formula1>
    </dataValidation>
    <dataValidation sqref="C3:C500" showDropDown="0" showInputMessage="0" showErrorMessage="0" allowBlank="0" type="list">
      <formula1>"Care,HR,Finance,Operations,Compliance,Marketing,IT"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Accounts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COS</t>
        </is>
      </c>
      <c r="D2" s="2" t="inlineStr">
        <is>
          <t>Payroll</t>
        </is>
      </c>
      <c r="E2" s="2" t="inlineStr">
        <is>
          <t>Overheads</t>
        </is>
      </c>
      <c r="F2" s="2" t="inlineStr">
        <is>
          <t>Net 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P&amp;L</t>
        </is>
      </c>
    </row>
    <row r="2">
      <c r="A2" s="2" t="inlineStr">
        <is>
          <t>Category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2">
      <c r="A2" s="2" t="inlineStr">
        <is>
          <t>Assets</t>
        </is>
      </c>
      <c r="B2" s="2" t="inlineStr">
        <is>
          <t>Value</t>
        </is>
      </c>
      <c r="C2" s="2" t="inlineStr">
        <is>
          <t>Liabilities</t>
        </is>
      </c>
      <c r="D2" s="2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Forecast 60M</t>
        </is>
      </c>
    </row>
    <row r="2">
      <c r="A2" s="2" t="inlineStr">
        <is>
          <t>Month</t>
        </is>
      </c>
      <c r="B2" s="2" t="inlineStr">
        <is>
          <t>Income</t>
        </is>
      </c>
      <c r="C2" s="2" t="inlineStr">
        <is>
          <t>Expenses</t>
        </is>
      </c>
      <c r="D2" s="2" t="inlineStr">
        <is>
          <t>Net Cash</t>
        </is>
      </c>
      <c r="E2" s="2" t="inlineStr">
        <is>
          <t>Closing Balance</t>
        </is>
      </c>
    </row>
    <row r="3">
      <c r="A3" t="inlineStr">
        <is>
          <t>M1</t>
        </is>
      </c>
      <c r="B3" t="n">
        <v>0</v>
      </c>
      <c r="C3" t="n">
        <v>0</v>
      </c>
      <c r="D3">
        <f>B3-C3</f>
        <v/>
      </c>
      <c r="E3">
        <f>D3</f>
        <v/>
      </c>
    </row>
    <row r="4">
      <c r="A4" t="inlineStr">
        <is>
          <t>M2</t>
        </is>
      </c>
      <c r="B4" t="n">
        <v>0</v>
      </c>
      <c r="C4" t="n">
        <v>0</v>
      </c>
      <c r="D4">
        <f>B4-C4</f>
        <v/>
      </c>
      <c r="E4">
        <f>E3+D4</f>
        <v/>
      </c>
    </row>
    <row r="5">
      <c r="A5" t="inlineStr">
        <is>
          <t>M3</t>
        </is>
      </c>
      <c r="B5" t="n">
        <v>0</v>
      </c>
      <c r="C5" t="n">
        <v>0</v>
      </c>
      <c r="D5">
        <f>B5-C5</f>
        <v/>
      </c>
      <c r="E5">
        <f>E4+D5</f>
        <v/>
      </c>
    </row>
    <row r="6">
      <c r="A6" t="inlineStr">
        <is>
          <t>M4</t>
        </is>
      </c>
      <c r="B6" t="n">
        <v>0</v>
      </c>
      <c r="C6" t="n">
        <v>0</v>
      </c>
      <c r="D6">
        <f>B6-C6</f>
        <v/>
      </c>
      <c r="E6">
        <f>E5+D6</f>
        <v/>
      </c>
    </row>
    <row r="7">
      <c r="A7" t="inlineStr">
        <is>
          <t>M5</t>
        </is>
      </c>
      <c r="B7" t="n">
        <v>0</v>
      </c>
      <c r="C7" t="n">
        <v>0</v>
      </c>
      <c r="D7">
        <f>B7-C7</f>
        <v/>
      </c>
      <c r="E7">
        <f>E6+D7</f>
        <v/>
      </c>
    </row>
    <row r="8">
      <c r="A8" t="inlineStr">
        <is>
          <t>M6</t>
        </is>
      </c>
      <c r="B8" t="n">
        <v>0</v>
      </c>
      <c r="C8" t="n">
        <v>0</v>
      </c>
      <c r="D8">
        <f>B8-C8</f>
        <v/>
      </c>
      <c r="E8">
        <f>E7+D8</f>
        <v/>
      </c>
    </row>
    <row r="9">
      <c r="A9" t="inlineStr">
        <is>
          <t>M7</t>
        </is>
      </c>
      <c r="B9" t="n">
        <v>0</v>
      </c>
      <c r="C9" t="n">
        <v>0</v>
      </c>
      <c r="D9">
        <f>B9-C9</f>
        <v/>
      </c>
      <c r="E9">
        <f>E8+D9</f>
        <v/>
      </c>
    </row>
    <row r="10">
      <c r="A10" t="inlineStr">
        <is>
          <t>M8</t>
        </is>
      </c>
      <c r="B10" t="n">
        <v>0</v>
      </c>
      <c r="C10" t="n">
        <v>0</v>
      </c>
      <c r="D10">
        <f>B10-C10</f>
        <v/>
      </c>
      <c r="E10">
        <f>E9+D10</f>
        <v/>
      </c>
    </row>
    <row r="11">
      <c r="A11" t="inlineStr">
        <is>
          <t>M9</t>
        </is>
      </c>
      <c r="B11" t="n">
        <v>0</v>
      </c>
      <c r="C11" t="n">
        <v>0</v>
      </c>
      <c r="D11">
        <f>B11-C11</f>
        <v/>
      </c>
      <c r="E11">
        <f>E10+D11</f>
        <v/>
      </c>
    </row>
    <row r="12">
      <c r="A12" t="inlineStr">
        <is>
          <t>M10</t>
        </is>
      </c>
      <c r="B12" t="n">
        <v>0</v>
      </c>
      <c r="C12" t="n">
        <v>0</v>
      </c>
      <c r="D12">
        <f>B12-C12</f>
        <v/>
      </c>
      <c r="E12">
        <f>E11+D12</f>
        <v/>
      </c>
    </row>
    <row r="13">
      <c r="A13" t="inlineStr">
        <is>
          <t>M11</t>
        </is>
      </c>
      <c r="B13" t="n">
        <v>0</v>
      </c>
      <c r="C13" t="n">
        <v>0</v>
      </c>
      <c r="D13">
        <f>B13-C13</f>
        <v/>
      </c>
      <c r="E13">
        <f>E12+D13</f>
        <v/>
      </c>
    </row>
    <row r="14">
      <c r="A14" t="inlineStr">
        <is>
          <t>M12</t>
        </is>
      </c>
      <c r="B14" t="n">
        <v>0</v>
      </c>
      <c r="C14" t="n">
        <v>0</v>
      </c>
      <c r="D14">
        <f>B14-C14</f>
        <v/>
      </c>
      <c r="E14">
        <f>E13+D14</f>
        <v/>
      </c>
    </row>
    <row r="15">
      <c r="A15" t="inlineStr">
        <is>
          <t>M13</t>
        </is>
      </c>
      <c r="B15" t="n">
        <v>0</v>
      </c>
      <c r="C15" t="n">
        <v>0</v>
      </c>
      <c r="D15">
        <f>B15-C15</f>
        <v/>
      </c>
      <c r="E15">
        <f>E14+D15</f>
        <v/>
      </c>
    </row>
    <row r="16">
      <c r="A16" t="inlineStr">
        <is>
          <t>M14</t>
        </is>
      </c>
      <c r="B16" t="n">
        <v>0</v>
      </c>
      <c r="C16" t="n">
        <v>0</v>
      </c>
      <c r="D16">
        <f>B16-C16</f>
        <v/>
      </c>
      <c r="E16">
        <f>E15+D16</f>
        <v/>
      </c>
    </row>
    <row r="17">
      <c r="A17" t="inlineStr">
        <is>
          <t>M15</t>
        </is>
      </c>
      <c r="B17" t="n">
        <v>0</v>
      </c>
      <c r="C17" t="n">
        <v>0</v>
      </c>
      <c r="D17">
        <f>B17-C17</f>
        <v/>
      </c>
      <c r="E17">
        <f>E16+D17</f>
        <v/>
      </c>
    </row>
    <row r="18">
      <c r="A18" t="inlineStr">
        <is>
          <t>M16</t>
        </is>
      </c>
      <c r="B18" t="n">
        <v>0</v>
      </c>
      <c r="C18" t="n">
        <v>0</v>
      </c>
      <c r="D18">
        <f>B18-C18</f>
        <v/>
      </c>
      <c r="E18">
        <f>E17+D18</f>
        <v/>
      </c>
    </row>
    <row r="19">
      <c r="A19" t="inlineStr">
        <is>
          <t>M17</t>
        </is>
      </c>
      <c r="B19" t="n">
        <v>0</v>
      </c>
      <c r="C19" t="n">
        <v>0</v>
      </c>
      <c r="D19">
        <f>B19-C19</f>
        <v/>
      </c>
      <c r="E19">
        <f>E18+D19</f>
        <v/>
      </c>
    </row>
    <row r="20">
      <c r="A20" t="inlineStr">
        <is>
          <t>M18</t>
        </is>
      </c>
      <c r="B20" t="n">
        <v>0</v>
      </c>
      <c r="C20" t="n">
        <v>0</v>
      </c>
      <c r="D20">
        <f>B20-C20</f>
        <v/>
      </c>
      <c r="E20">
        <f>E19+D20</f>
        <v/>
      </c>
    </row>
    <row r="21">
      <c r="A21" t="inlineStr">
        <is>
          <t>M19</t>
        </is>
      </c>
      <c r="B21" t="n">
        <v>0</v>
      </c>
      <c r="C21" t="n">
        <v>0</v>
      </c>
      <c r="D21">
        <f>B21-C21</f>
        <v/>
      </c>
      <c r="E21">
        <f>E20+D21</f>
        <v/>
      </c>
    </row>
    <row r="22">
      <c r="A22" t="inlineStr">
        <is>
          <t>M20</t>
        </is>
      </c>
      <c r="B22" t="n">
        <v>0</v>
      </c>
      <c r="C22" t="n">
        <v>0</v>
      </c>
      <c r="D22">
        <f>B22-C22</f>
        <v/>
      </c>
      <c r="E22">
        <f>E21+D22</f>
        <v/>
      </c>
    </row>
    <row r="23">
      <c r="A23" t="inlineStr">
        <is>
          <t>M21</t>
        </is>
      </c>
      <c r="B23" t="n">
        <v>0</v>
      </c>
      <c r="C23" t="n">
        <v>0</v>
      </c>
      <c r="D23">
        <f>B23-C23</f>
        <v/>
      </c>
      <c r="E23">
        <f>E22+D23</f>
        <v/>
      </c>
    </row>
    <row r="24">
      <c r="A24" t="inlineStr">
        <is>
          <t>M22</t>
        </is>
      </c>
      <c r="B24" t="n">
        <v>0</v>
      </c>
      <c r="C24" t="n">
        <v>0</v>
      </c>
      <c r="D24">
        <f>B24-C24</f>
        <v/>
      </c>
      <c r="E24">
        <f>E23+D24</f>
        <v/>
      </c>
    </row>
    <row r="25">
      <c r="A25" t="inlineStr">
        <is>
          <t>M23</t>
        </is>
      </c>
      <c r="B25" t="n">
        <v>0</v>
      </c>
      <c r="C25" t="n">
        <v>0</v>
      </c>
      <c r="D25">
        <f>B25-C25</f>
        <v/>
      </c>
      <c r="E25">
        <f>E24+D25</f>
        <v/>
      </c>
    </row>
    <row r="26">
      <c r="A26" t="inlineStr">
        <is>
          <t>M24</t>
        </is>
      </c>
      <c r="B26" t="n">
        <v>0</v>
      </c>
      <c r="C26" t="n">
        <v>0</v>
      </c>
      <c r="D26">
        <f>B26-C26</f>
        <v/>
      </c>
      <c r="E26">
        <f>E25+D26</f>
        <v/>
      </c>
    </row>
    <row r="27">
      <c r="A27" t="inlineStr">
        <is>
          <t>M25</t>
        </is>
      </c>
      <c r="B27" t="n">
        <v>0</v>
      </c>
      <c r="C27" t="n">
        <v>0</v>
      </c>
      <c r="D27">
        <f>B27-C27</f>
        <v/>
      </c>
      <c r="E27">
        <f>E26+D27</f>
        <v/>
      </c>
    </row>
    <row r="28">
      <c r="A28" t="inlineStr">
        <is>
          <t>M26</t>
        </is>
      </c>
      <c r="B28" t="n">
        <v>0</v>
      </c>
      <c r="C28" t="n">
        <v>0</v>
      </c>
      <c r="D28">
        <f>B28-C28</f>
        <v/>
      </c>
      <c r="E28">
        <f>E27+D28</f>
        <v/>
      </c>
    </row>
    <row r="29">
      <c r="A29" t="inlineStr">
        <is>
          <t>M27</t>
        </is>
      </c>
      <c r="B29" t="n">
        <v>0</v>
      </c>
      <c r="C29" t="n">
        <v>0</v>
      </c>
      <c r="D29">
        <f>B29-C29</f>
        <v/>
      </c>
      <c r="E29">
        <f>E28+D29</f>
        <v/>
      </c>
    </row>
    <row r="30">
      <c r="A30" t="inlineStr">
        <is>
          <t>M28</t>
        </is>
      </c>
      <c r="B30" t="n">
        <v>0</v>
      </c>
      <c r="C30" t="n">
        <v>0</v>
      </c>
      <c r="D30">
        <f>B30-C30</f>
        <v/>
      </c>
      <c r="E30">
        <f>E29+D30</f>
        <v/>
      </c>
    </row>
    <row r="31">
      <c r="A31" t="inlineStr">
        <is>
          <t>M29</t>
        </is>
      </c>
      <c r="B31" t="n">
        <v>0</v>
      </c>
      <c r="C31" t="n">
        <v>0</v>
      </c>
      <c r="D31">
        <f>B31-C31</f>
        <v/>
      </c>
      <c r="E31">
        <f>E30+D31</f>
        <v/>
      </c>
    </row>
    <row r="32">
      <c r="A32" t="inlineStr">
        <is>
          <t>M30</t>
        </is>
      </c>
      <c r="B32" t="n">
        <v>0</v>
      </c>
      <c r="C32" t="n">
        <v>0</v>
      </c>
      <c r="D32">
        <f>B32-C32</f>
        <v/>
      </c>
      <c r="E32">
        <f>E31+D32</f>
        <v/>
      </c>
    </row>
    <row r="33">
      <c r="A33" t="inlineStr">
        <is>
          <t>M31</t>
        </is>
      </c>
      <c r="B33" t="n">
        <v>0</v>
      </c>
      <c r="C33" t="n">
        <v>0</v>
      </c>
      <c r="D33">
        <f>B33-C33</f>
        <v/>
      </c>
      <c r="E33">
        <f>E32+D33</f>
        <v/>
      </c>
    </row>
    <row r="34">
      <c r="A34" t="inlineStr">
        <is>
          <t>M32</t>
        </is>
      </c>
      <c r="B34" t="n">
        <v>0</v>
      </c>
      <c r="C34" t="n">
        <v>0</v>
      </c>
      <c r="D34">
        <f>B34-C34</f>
        <v/>
      </c>
      <c r="E34">
        <f>E33+D34</f>
        <v/>
      </c>
    </row>
    <row r="35">
      <c r="A35" t="inlineStr">
        <is>
          <t>M33</t>
        </is>
      </c>
      <c r="B35" t="n">
        <v>0</v>
      </c>
      <c r="C35" t="n">
        <v>0</v>
      </c>
      <c r="D35">
        <f>B35-C35</f>
        <v/>
      </c>
      <c r="E35">
        <f>E34+D35</f>
        <v/>
      </c>
    </row>
    <row r="36">
      <c r="A36" t="inlineStr">
        <is>
          <t>M34</t>
        </is>
      </c>
      <c r="B36" t="n">
        <v>0</v>
      </c>
      <c r="C36" t="n">
        <v>0</v>
      </c>
      <c r="D36">
        <f>B36-C36</f>
        <v/>
      </c>
      <c r="E36">
        <f>E35+D36</f>
        <v/>
      </c>
    </row>
    <row r="37">
      <c r="A37" t="inlineStr">
        <is>
          <t>M35</t>
        </is>
      </c>
      <c r="B37" t="n">
        <v>0</v>
      </c>
      <c r="C37" t="n">
        <v>0</v>
      </c>
      <c r="D37">
        <f>B37-C37</f>
        <v/>
      </c>
      <c r="E37">
        <f>E36+D37</f>
        <v/>
      </c>
    </row>
    <row r="38">
      <c r="A38" t="inlineStr">
        <is>
          <t>M36</t>
        </is>
      </c>
      <c r="B38" t="n">
        <v>0</v>
      </c>
      <c r="C38" t="n">
        <v>0</v>
      </c>
      <c r="D38">
        <f>B38-C38</f>
        <v/>
      </c>
      <c r="E38">
        <f>E37+D38</f>
        <v/>
      </c>
    </row>
    <row r="39">
      <c r="A39" t="inlineStr">
        <is>
          <t>M37</t>
        </is>
      </c>
      <c r="B39" t="n">
        <v>0</v>
      </c>
      <c r="C39" t="n">
        <v>0</v>
      </c>
      <c r="D39">
        <f>B39-C39</f>
        <v/>
      </c>
      <c r="E39">
        <f>E38+D39</f>
        <v/>
      </c>
    </row>
    <row r="40">
      <c r="A40" t="inlineStr">
        <is>
          <t>M38</t>
        </is>
      </c>
      <c r="B40" t="n">
        <v>0</v>
      </c>
      <c r="C40" t="n">
        <v>0</v>
      </c>
      <c r="D40">
        <f>B40-C40</f>
        <v/>
      </c>
      <c r="E40">
        <f>E39+D40</f>
        <v/>
      </c>
    </row>
    <row r="41">
      <c r="A41" t="inlineStr">
        <is>
          <t>M39</t>
        </is>
      </c>
      <c r="B41" t="n">
        <v>0</v>
      </c>
      <c r="C41" t="n">
        <v>0</v>
      </c>
      <c r="D41">
        <f>B41-C41</f>
        <v/>
      </c>
      <c r="E41">
        <f>E40+D41</f>
        <v/>
      </c>
    </row>
    <row r="42">
      <c r="A42" t="inlineStr">
        <is>
          <t>M40</t>
        </is>
      </c>
      <c r="B42" t="n">
        <v>0</v>
      </c>
      <c r="C42" t="n">
        <v>0</v>
      </c>
      <c r="D42">
        <f>B42-C42</f>
        <v/>
      </c>
      <c r="E42">
        <f>E41+D42</f>
        <v/>
      </c>
    </row>
    <row r="43">
      <c r="A43" t="inlineStr">
        <is>
          <t>M41</t>
        </is>
      </c>
      <c r="B43" t="n">
        <v>0</v>
      </c>
      <c r="C43" t="n">
        <v>0</v>
      </c>
      <c r="D43">
        <f>B43-C43</f>
        <v/>
      </c>
      <c r="E43">
        <f>E42+D43</f>
        <v/>
      </c>
    </row>
    <row r="44">
      <c r="A44" t="inlineStr">
        <is>
          <t>M42</t>
        </is>
      </c>
      <c r="B44" t="n">
        <v>0</v>
      </c>
      <c r="C44" t="n">
        <v>0</v>
      </c>
      <c r="D44">
        <f>B44-C44</f>
        <v/>
      </c>
      <c r="E44">
        <f>E43+D44</f>
        <v/>
      </c>
    </row>
    <row r="45">
      <c r="A45" t="inlineStr">
        <is>
          <t>M43</t>
        </is>
      </c>
      <c r="B45" t="n">
        <v>0</v>
      </c>
      <c r="C45" t="n">
        <v>0</v>
      </c>
      <c r="D45">
        <f>B45-C45</f>
        <v/>
      </c>
      <c r="E45">
        <f>E44+D45</f>
        <v/>
      </c>
    </row>
    <row r="46">
      <c r="A46" t="inlineStr">
        <is>
          <t>M44</t>
        </is>
      </c>
      <c r="B46" t="n">
        <v>0</v>
      </c>
      <c r="C46" t="n">
        <v>0</v>
      </c>
      <c r="D46">
        <f>B46-C46</f>
        <v/>
      </c>
      <c r="E46">
        <f>E45+D46</f>
        <v/>
      </c>
    </row>
    <row r="47">
      <c r="A47" t="inlineStr">
        <is>
          <t>M45</t>
        </is>
      </c>
      <c r="B47" t="n">
        <v>0</v>
      </c>
      <c r="C47" t="n">
        <v>0</v>
      </c>
      <c r="D47">
        <f>B47-C47</f>
        <v/>
      </c>
      <c r="E47">
        <f>E46+D47</f>
        <v/>
      </c>
    </row>
    <row r="48">
      <c r="A48" t="inlineStr">
        <is>
          <t>M46</t>
        </is>
      </c>
      <c r="B48" t="n">
        <v>0</v>
      </c>
      <c r="C48" t="n">
        <v>0</v>
      </c>
      <c r="D48">
        <f>B48-C48</f>
        <v/>
      </c>
      <c r="E48">
        <f>E47+D48</f>
        <v/>
      </c>
    </row>
    <row r="49">
      <c r="A49" t="inlineStr">
        <is>
          <t>M47</t>
        </is>
      </c>
      <c r="B49" t="n">
        <v>0</v>
      </c>
      <c r="C49" t="n">
        <v>0</v>
      </c>
      <c r="D49">
        <f>B49-C49</f>
        <v/>
      </c>
      <c r="E49">
        <f>E48+D49</f>
        <v/>
      </c>
    </row>
    <row r="50">
      <c r="A50" t="inlineStr">
        <is>
          <t>M48</t>
        </is>
      </c>
      <c r="B50" t="n">
        <v>0</v>
      </c>
      <c r="C50" t="n">
        <v>0</v>
      </c>
      <c r="D50">
        <f>B50-C50</f>
        <v/>
      </c>
      <c r="E50">
        <f>E49+D50</f>
        <v/>
      </c>
    </row>
    <row r="51">
      <c r="A51" t="inlineStr">
        <is>
          <t>M49</t>
        </is>
      </c>
      <c r="B51" t="n">
        <v>0</v>
      </c>
      <c r="C51" t="n">
        <v>0</v>
      </c>
      <c r="D51">
        <f>B51-C51</f>
        <v/>
      </c>
      <c r="E51">
        <f>E50+D51</f>
        <v/>
      </c>
    </row>
    <row r="52">
      <c r="A52" t="inlineStr">
        <is>
          <t>M50</t>
        </is>
      </c>
      <c r="B52" t="n">
        <v>0</v>
      </c>
      <c r="C52" t="n">
        <v>0</v>
      </c>
      <c r="D52">
        <f>B52-C52</f>
        <v/>
      </c>
      <c r="E52">
        <f>E51+D52</f>
        <v/>
      </c>
    </row>
    <row r="53">
      <c r="A53" t="inlineStr">
        <is>
          <t>M51</t>
        </is>
      </c>
      <c r="B53" t="n">
        <v>0</v>
      </c>
      <c r="C53" t="n">
        <v>0</v>
      </c>
      <c r="D53">
        <f>B53-C53</f>
        <v/>
      </c>
      <c r="E53">
        <f>E52+D53</f>
        <v/>
      </c>
    </row>
    <row r="54">
      <c r="A54" t="inlineStr">
        <is>
          <t>M52</t>
        </is>
      </c>
      <c r="B54" t="n">
        <v>0</v>
      </c>
      <c r="C54" t="n">
        <v>0</v>
      </c>
      <c r="D54">
        <f>B54-C54</f>
        <v/>
      </c>
      <c r="E54">
        <f>E53+D54</f>
        <v/>
      </c>
    </row>
    <row r="55">
      <c r="A55" t="inlineStr">
        <is>
          <t>M53</t>
        </is>
      </c>
      <c r="B55" t="n">
        <v>0</v>
      </c>
      <c r="C55" t="n">
        <v>0</v>
      </c>
      <c r="D55">
        <f>B55-C55</f>
        <v/>
      </c>
      <c r="E55">
        <f>E54+D55</f>
        <v/>
      </c>
    </row>
    <row r="56">
      <c r="A56" t="inlineStr">
        <is>
          <t>M54</t>
        </is>
      </c>
      <c r="B56" t="n">
        <v>0</v>
      </c>
      <c r="C56" t="n">
        <v>0</v>
      </c>
      <c r="D56">
        <f>B56-C56</f>
        <v/>
      </c>
      <c r="E56">
        <f>E55+D56</f>
        <v/>
      </c>
    </row>
    <row r="57">
      <c r="A57" t="inlineStr">
        <is>
          <t>M55</t>
        </is>
      </c>
      <c r="B57" t="n">
        <v>0</v>
      </c>
      <c r="C57" t="n">
        <v>0</v>
      </c>
      <c r="D57">
        <f>B57-C57</f>
        <v/>
      </c>
      <c r="E57">
        <f>E56+D57</f>
        <v/>
      </c>
    </row>
    <row r="58">
      <c r="A58" t="inlineStr">
        <is>
          <t>M56</t>
        </is>
      </c>
      <c r="B58" t="n">
        <v>0</v>
      </c>
      <c r="C58" t="n">
        <v>0</v>
      </c>
      <c r="D58">
        <f>B58-C58</f>
        <v/>
      </c>
      <c r="E58">
        <f>E57+D58</f>
        <v/>
      </c>
    </row>
    <row r="59">
      <c r="A59" t="inlineStr">
        <is>
          <t>M57</t>
        </is>
      </c>
      <c r="B59" t="n">
        <v>0</v>
      </c>
      <c r="C59" t="n">
        <v>0</v>
      </c>
      <c r="D59">
        <f>B59-C59</f>
        <v/>
      </c>
      <c r="E59">
        <f>E58+D59</f>
        <v/>
      </c>
    </row>
    <row r="60">
      <c r="A60" t="inlineStr">
        <is>
          <t>M58</t>
        </is>
      </c>
      <c r="B60" t="n">
        <v>0</v>
      </c>
      <c r="C60" t="n">
        <v>0</v>
      </c>
      <c r="D60">
        <f>B60-C60</f>
        <v/>
      </c>
      <c r="E60">
        <f>E59+D60</f>
        <v/>
      </c>
    </row>
    <row r="61">
      <c r="A61" t="inlineStr">
        <is>
          <t>M59</t>
        </is>
      </c>
      <c r="B61" t="n">
        <v>0</v>
      </c>
      <c r="C61" t="n">
        <v>0</v>
      </c>
      <c r="D61">
        <f>B61-C61</f>
        <v/>
      </c>
      <c r="E61">
        <f>E60+D61</f>
        <v/>
      </c>
    </row>
    <row r="62">
      <c r="A62" t="inlineStr">
        <is>
          <t>M60</t>
        </is>
      </c>
      <c r="B62" t="n">
        <v>0</v>
      </c>
      <c r="C62" t="n">
        <v>0</v>
      </c>
      <c r="D62">
        <f>B62-C62</f>
        <v/>
      </c>
      <c r="E62">
        <f>E61+D62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Planning</t>
        </is>
      </c>
    </row>
    <row r="2">
      <c r="A2" s="2" t="inlineStr">
        <is>
          <t>Scenario</t>
        </is>
      </c>
      <c r="B2" s="2" t="inlineStr">
        <is>
          <t>Revenue</t>
        </is>
      </c>
      <c r="C2" s="2" t="inlineStr">
        <is>
          <t>Expenses</t>
        </is>
      </c>
      <c r="D2" s="2" t="inlineStr">
        <is>
          <t>Profit</t>
        </is>
      </c>
    </row>
    <row r="3">
      <c r="A3" t="inlineStr">
        <is>
          <t>Best Case</t>
        </is>
      </c>
      <c r="B3" t="n">
        <v>350000</v>
      </c>
      <c r="C3" t="n">
        <v>250000</v>
      </c>
      <c r="D3">
        <f>B3-C3</f>
        <v/>
      </c>
    </row>
    <row r="4">
      <c r="A4" t="inlineStr">
        <is>
          <t>Expected</t>
        </is>
      </c>
      <c r="B4" t="n">
        <v>250000</v>
      </c>
      <c r="C4" t="n">
        <v>190000</v>
      </c>
      <c r="D4">
        <f>B4-C4</f>
        <v/>
      </c>
    </row>
    <row r="5">
      <c r="A5" t="inlineStr">
        <is>
          <t>Worst Case</t>
        </is>
      </c>
      <c r="B5" t="n">
        <v>180000</v>
      </c>
      <c r="C5" t="n">
        <v>170000</v>
      </c>
      <c r="D5">
        <f>B5-C5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by Council</t>
        </is>
      </c>
    </row>
    <row r="2">
      <c r="A2" s="2" t="inlineStr">
        <is>
          <t>Council</t>
        </is>
      </c>
      <c r="B2" s="2" t="inlineStr">
        <is>
          <t>Revenue</t>
        </is>
      </c>
      <c r="C2" s="2" t="inlineStr">
        <is>
          <t>Margin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by Service</t>
        </is>
      </c>
    </row>
    <row r="2">
      <c r="A2" s="2" t="inlineStr">
        <is>
          <t>Service</t>
        </is>
      </c>
      <c r="B2" s="2" t="inlineStr">
        <is>
          <t>Revenue</t>
        </is>
      </c>
      <c r="C2" s="2" t="inlineStr">
        <is>
          <t>Margin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</t>
        </is>
      </c>
    </row>
    <row r="2">
      <c r="A2" s="2" t="inlineStr">
        <is>
          <t>Employee</t>
        </is>
      </c>
      <c r="B2" s="2" t="inlineStr">
        <is>
          <t>Department</t>
        </is>
      </c>
      <c r="C2" s="2" t="inlineStr">
        <is>
          <t>Hours</t>
        </is>
      </c>
      <c r="D2" s="2" t="inlineStr">
        <is>
          <t>Rate</t>
        </is>
      </c>
      <c r="E2" s="2" t="inlineStr">
        <is>
          <t>Gross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 Profitability</t>
        </is>
      </c>
    </row>
    <row r="2">
      <c r="A2" s="2" t="inlineStr">
        <is>
          <t>Tender</t>
        </is>
      </c>
      <c r="B2" s="2" t="inlineStr">
        <is>
          <t>Revenue</t>
        </is>
      </c>
      <c r="C2" s="2" t="inlineStr">
        <is>
          <t>Cost</t>
        </is>
      </c>
      <c r="D2" s="2" t="inlineStr">
        <is>
          <t>Margin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</t>
        </is>
      </c>
    </row>
    <row r="2">
      <c r="A2" s="2" t="inlineStr">
        <is>
          <t>Council</t>
        </is>
      </c>
      <c r="B2" s="2" t="inlineStr">
        <is>
          <t>Start</t>
        </is>
      </c>
      <c r="C2" s="2" t="inlineStr">
        <is>
          <t>End</t>
        </is>
      </c>
      <c r="D2" s="2" t="inlineStr">
        <is>
          <t>Value</t>
        </is>
      </c>
      <c r="E2" s="2" t="inlineStr">
        <is>
          <t>Manager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Register</t>
        </is>
      </c>
    </row>
    <row r="2">
      <c r="A2" s="2" t="inlineStr">
        <is>
          <t>Invoice</t>
        </is>
      </c>
      <c r="B2" s="2" t="inlineStr">
        <is>
          <t>Client</t>
        </is>
      </c>
      <c r="C2" s="2" t="inlineStr">
        <is>
          <t>Amount</t>
        </is>
      </c>
      <c r="D2" s="2" t="inlineStr">
        <is>
          <t>Due</t>
        </is>
      </c>
      <c r="E2" s="2" t="inlineStr">
        <is>
          <t>Paid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Ageing</t>
        </is>
      </c>
    </row>
    <row r="2">
      <c r="A2" s="2" t="inlineStr">
        <is>
          <t>Client</t>
        </is>
      </c>
      <c r="B2" s="2" t="inlineStr">
        <is>
          <t>0-30</t>
        </is>
      </c>
      <c r="C2" s="2" t="inlineStr">
        <is>
          <t>31-60</t>
        </is>
      </c>
      <c r="D2" s="2" t="inlineStr">
        <is>
          <t>61-90</t>
        </is>
      </c>
      <c r="E2" s="2" t="inlineStr">
        <is>
          <t>90+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Register</t>
        </is>
      </c>
    </row>
    <row r="2">
      <c r="A2" s="2" t="inlineStr">
        <is>
          <t>Date</t>
        </is>
      </c>
      <c r="B2" s="2" t="inlineStr">
        <is>
          <t>Department</t>
        </is>
      </c>
      <c r="C2" s="2" t="inlineStr">
        <is>
          <t>Category</t>
        </is>
      </c>
      <c r="D2" s="2" t="inlineStr">
        <is>
          <t>Amount</t>
        </is>
      </c>
      <c r="E2" s="2" t="inlineStr">
        <is>
          <t>Approved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</t>
        </is>
      </c>
    </row>
    <row r="2">
      <c r="A2" s="2" t="inlineStr">
        <is>
          <t>Vehicle</t>
        </is>
      </c>
      <c r="B2" s="2" t="inlineStr">
        <is>
          <t>Fuel</t>
        </is>
      </c>
      <c r="C2" s="2" t="inlineStr">
        <is>
          <t>Maintenance</t>
        </is>
      </c>
      <c r="D2" s="2" t="inlineStr">
        <is>
          <t>Insurance</t>
        </is>
      </c>
      <c r="E2" s="2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</t>
        </is>
      </c>
    </row>
    <row r="2">
      <c r="A2" s="2" t="inlineStr">
        <is>
          <t>Property</t>
        </is>
      </c>
      <c r="B2" s="2" t="inlineStr">
        <is>
          <t>Rent</t>
        </is>
      </c>
      <c r="C2" s="2" t="inlineStr">
        <is>
          <t>Utilities</t>
        </is>
      </c>
      <c r="D2" s="2" t="inlineStr">
        <is>
          <t>Maintenance</t>
        </is>
      </c>
      <c r="E2" s="2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</t>
        </is>
      </c>
    </row>
    <row r="2">
      <c r="A2" s="2" t="inlineStr">
        <is>
          <t>Asset</t>
        </is>
      </c>
      <c r="B2" s="2" t="inlineStr">
        <is>
          <t>Cost</t>
        </is>
      </c>
      <c r="C2" s="2" t="inlineStr">
        <is>
          <t>Life</t>
        </is>
      </c>
      <c r="D2" s="2" t="inlineStr">
        <is>
          <t>Depreciation</t>
        </is>
      </c>
      <c r="E2" s="2" t="inlineStr">
        <is>
          <t>Book 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2">
      <c r="A2" s="2" t="inlineStr">
        <is>
          <t>Risk</t>
        </is>
      </c>
      <c r="B2" s="2" t="inlineStr">
        <is>
          <t>Likelihood</t>
        </is>
      </c>
      <c r="C2" s="2" t="inlineStr">
        <is>
          <t>Impact</t>
        </is>
      </c>
      <c r="D2" s="2" t="inlineStr">
        <is>
          <t>Owner</t>
        </is>
      </c>
      <c r="E2" s="2" t="inlineStr">
        <is>
          <t>Mitigation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CQC Compliance</t>
        </is>
      </c>
    </row>
    <row r="2">
      <c r="A2" s="2" t="inlineStr">
        <is>
          <t>Standard</t>
        </is>
      </c>
      <c r="B2" s="2" t="inlineStr">
        <is>
          <t>Owner</t>
        </is>
      </c>
      <c r="C2" s="2" t="inlineStr">
        <is>
          <t>Status</t>
        </is>
      </c>
      <c r="D2" s="2" t="inlineStr">
        <is>
          <t>Review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Recruitment</t>
        </is>
      </c>
    </row>
    <row r="2">
      <c r="A2" s="2" t="inlineStr">
        <is>
          <t>Role</t>
        </is>
      </c>
      <c r="B2" s="2" t="inlineStr">
        <is>
          <t>Stage</t>
        </is>
      </c>
      <c r="C2" s="2" t="inlineStr">
        <is>
          <t>Cost</t>
        </is>
      </c>
      <c r="D2" s="2" t="inlineStr">
        <is>
          <t>Status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</t>
        </is>
      </c>
    </row>
    <row r="2">
      <c r="A2" s="2" t="inlineStr">
        <is>
          <t>Employee</t>
        </is>
      </c>
      <c r="B2" s="2" t="inlineStr">
        <is>
          <t>Course</t>
        </is>
      </c>
      <c r="C2" s="2" t="inlineStr">
        <is>
          <t>Expiry</t>
        </is>
      </c>
      <c r="D2" s="2" t="inlineStr">
        <is>
          <t>Cost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Pack</t>
        </is>
      </c>
    </row>
    <row r="2">
      <c r="A2" s="2" t="inlineStr">
        <is>
          <t>Metric</t>
        </is>
      </c>
      <c r="B2" s="2" t="inlineStr">
        <is>
          <t>Current</t>
        </is>
      </c>
      <c r="C2" s="2" t="inlineStr">
        <is>
          <t>Prior</t>
        </is>
      </c>
      <c r="D2" s="2" t="inlineStr">
        <is>
          <t>Variance</t>
        </is>
      </c>
      <c r="E2" s="2" t="inlineStr">
        <is>
          <t>Commentary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Dashboard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Target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Register</t>
        </is>
      </c>
    </row>
    <row r="2">
      <c r="A2" s="2" t="inlineStr">
        <is>
          <t>Document</t>
        </is>
      </c>
      <c r="B2" s="2" t="inlineStr">
        <is>
          <t>Owner</t>
        </is>
      </c>
      <c r="C2" s="2" t="inlineStr">
        <is>
          <t>Renewal</t>
        </is>
      </c>
      <c r="D2" s="2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Trail</t>
        </is>
      </c>
    </row>
    <row r="2">
      <c r="A2" s="2" t="inlineStr">
        <is>
          <t>Date</t>
        </is>
      </c>
      <c r="B2" s="2" t="inlineStr">
        <is>
          <t>User</t>
        </is>
      </c>
      <c r="C2" s="2" t="inlineStr">
        <is>
          <t>Action</t>
        </is>
      </c>
      <c r="D2" s="2" t="inlineStr">
        <is>
          <t>Record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s="2" t="inlineStr">
        <is>
          <t>Variable</t>
        </is>
      </c>
      <c r="B2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2026-07-07T11:36:29Z</dcterms:created>
  <dcterms:modified xmlns:dcterms="http://purl.org/dc/terms/" xmlns:xsi="http://www.w3.org/2001/XMLSchema-instance" xsi:type="dcterms:W3CDTF">2026-07-07T11:36:29Z</dcterms:modified>
</cp:coreProperties>
</file>