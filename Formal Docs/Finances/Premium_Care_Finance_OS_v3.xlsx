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Dashboard" sheetId="1" state="visible" r:id="rId1"/>
    <sheet xmlns:r="http://schemas.openxmlformats.org/officeDocument/2006/relationships" name="Management Accounts" sheetId="2" state="visible" r:id="rId2"/>
    <sheet xmlns:r="http://schemas.openxmlformats.org/officeDocument/2006/relationships" name="Revenue by Council" sheetId="3" state="visible" r:id="rId3"/>
    <sheet xmlns:r="http://schemas.openxmlformats.org/officeDocument/2006/relationships" name="Revenue by Service" sheetId="4" state="visible" r:id="rId4"/>
    <sheet xmlns:r="http://schemas.openxmlformats.org/officeDocument/2006/relationships" name="Forecast (36M)" sheetId="5" state="visible" r:id="rId5"/>
    <sheet xmlns:r="http://schemas.openxmlformats.org/officeDocument/2006/relationships" name="Payroll" sheetId="6" state="visible" r:id="rId6"/>
    <sheet xmlns:r="http://schemas.openxmlformats.org/officeDocument/2006/relationships" name="Recruitment Pipeline" sheetId="7" state="visible" r:id="rId7"/>
    <sheet xmlns:r="http://schemas.openxmlformats.org/officeDocument/2006/relationships" name="Invoice Ageing" sheetId="8" state="visible" r:id="rId8"/>
    <sheet xmlns:r="http://schemas.openxmlformats.org/officeDocument/2006/relationships" name="Purchase Ledger" sheetId="9" state="visible" r:id="rId9"/>
    <sheet xmlns:r="http://schemas.openxmlformats.org/officeDocument/2006/relationships" name="Sales Ledger" sheetId="10" state="visible" r:id="rId10"/>
    <sheet xmlns:r="http://schemas.openxmlformats.org/officeDocument/2006/relationships" name="CapEx" sheetId="11" state="visible" r:id="rId11"/>
    <sheet xmlns:r="http://schemas.openxmlformats.org/officeDocument/2006/relationships" name="Cashflow" sheetId="12" state="visible" r:id="rId12"/>
    <sheet xmlns:r="http://schemas.openxmlformats.org/officeDocument/2006/relationships" name="Departments" sheetId="13" state="visible" r:id="rId13"/>
    <sheet xmlns:r="http://schemas.openxmlformats.org/officeDocument/2006/relationships" name="Risk Dashboard" sheetId="14" state="visible" r:id="rId14"/>
    <sheet xmlns:r="http://schemas.openxmlformats.org/officeDocument/2006/relationships" name="CQC Dashboard" sheetId="15" state="visible" r:id="rId15"/>
    <sheet xmlns:r="http://schemas.openxmlformats.org/officeDocument/2006/relationships" name="Asset Depreciation" sheetId="16" state="visible" r:id="rId16"/>
    <sheet xmlns:r="http://schemas.openxmlformats.org/officeDocument/2006/relationships" name="Fleet" sheetId="17" state="visible" r:id="rId17"/>
    <sheet xmlns:r="http://schemas.openxmlformats.org/officeDocument/2006/relationships" name="Properties" sheetId="18" state="visible" r:id="rId18"/>
    <sheet xmlns:r="http://schemas.openxmlformats.org/officeDocument/2006/relationships" name="PPE Inventory" sheetId="19" state="visible" r:id="rId19"/>
    <sheet xmlns:r="http://schemas.openxmlformats.org/officeDocument/2006/relationships" name="Board Pack" sheetId="20" state="visible" r:id="rId20"/>
    <sheet xmlns:r="http://schemas.openxmlformats.org/officeDocument/2006/relationships" name="Investor Dashboard" sheetId="21" state="visible" r:id="rId21"/>
    <sheet xmlns:r="http://schemas.openxmlformats.org/officeDocument/2006/relationships" name="Settings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20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C9A227"/>
      </patternFill>
    </fill>
    <fill>
      <patternFill patternType="solid">
        <fgColor rgb="00153A5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Executive KPI Snapshot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'Executive Dashboard'!$A$4:$M$4</f>
            </numRef>
          </cat>
          <val>
            <numRef>
              <f>'Executive Dashboard'!$B$4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'Executive Dashboard'!$A$4:$M$4</f>
            </numRef>
          </cat>
          <val>
            <numRef>
              <f>'Executive Dashboard'!$C$4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'Executive Dashboard'!$A$4:$M$4</f>
            </numRef>
          </cat>
          <val>
            <numRef>
              <f>'Executive Dashboard'!$D$4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cat>
            <numRef>
              <f>'Executive Dashboard'!$A$4:$M$4</f>
            </numRef>
          </cat>
          <val>
            <numRef>
              <f>'Executive Dashboard'!$E$4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cat>
            <numRef>
              <f>'Executive Dashboard'!$A$4:$M$4</f>
            </numRef>
          </cat>
          <val>
            <numRef>
              <f>'Executive Dashboard'!$F$4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cat>
            <numRef>
              <f>'Executive Dashboard'!$A$4:$M$4</f>
            </numRef>
          </cat>
          <val>
            <numRef>
              <f>'Executive Dashboard'!$G$4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cat>
            <numRef>
              <f>'Executive Dashboard'!$A$4:$M$4</f>
            </numRef>
          </cat>
          <val>
            <numRef>
              <f>'Executive Dashboard'!$H$4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cat>
            <numRef>
              <f>'Executive Dashboard'!$A$4:$M$4</f>
            </numRef>
          </cat>
          <val>
            <numRef>
              <f>'Executive Dashboard'!$I$4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cat>
            <numRef>
              <f>'Executive Dashboard'!$A$4:$M$4</f>
            </numRef>
          </cat>
          <val>
            <numRef>
              <f>'Executive Dashboard'!$J$4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cat>
            <numRef>
              <f>'Executive Dashboard'!$A$4:$M$4</f>
            </numRef>
          </cat>
          <val>
            <numRef>
              <f>'Executive Dashboard'!$K$4</f>
            </numRef>
          </val>
        </ser>
        <ser>
          <idx val="10"/>
          <order val="10"/>
          <spPr>
            <a:ln xmlns:a="http://schemas.openxmlformats.org/drawingml/2006/main">
              <a:prstDash val="solid"/>
            </a:ln>
          </spPr>
          <cat>
            <numRef>
              <f>'Executive Dashboard'!$A$4:$M$4</f>
            </numRef>
          </cat>
          <val>
            <numRef>
              <f>'Executive Dashboard'!$L$4</f>
            </numRef>
          </val>
        </ser>
        <ser>
          <idx val="11"/>
          <order val="11"/>
          <spPr>
            <a:ln xmlns:a="http://schemas.openxmlformats.org/drawingml/2006/main">
              <a:prstDash val="solid"/>
            </a:ln>
          </spPr>
          <cat>
            <numRef>
              <f>'Executive Dashboard'!$A$4:$M$4</f>
            </numRef>
          </cat>
          <val>
            <numRef>
              <f>'Executive Dashboard'!$M$4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36-Month Cash Forecast</a:t>
            </a:r>
          </a:p>
        </rich>
      </tx>
    </title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'Forecast (36M)'!$A$2:$A$37</f>
            </numRef>
          </cat>
          <val>
            <numRef>
              <f>'Forecast (36M)'!$E$2:$E$37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6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PREMIUM CARE | EXECUTIVE FINANCE OS v3</t>
        </is>
      </c>
    </row>
    <row r="3">
      <c r="A3" s="2" t="inlineStr">
        <is>
          <t>KPI</t>
        </is>
      </c>
      <c r="B3" s="2" t="inlineStr">
        <is>
          <t>Current</t>
        </is>
      </c>
      <c r="C3" s="2" t="inlineStr">
        <is>
          <t>Target</t>
        </is>
      </c>
    </row>
    <row r="4">
      <c r="A4" t="inlineStr">
        <is>
          <t>Revenue</t>
        </is>
      </c>
      <c r="B4" t="n">
        <v>0</v>
      </c>
      <c r="C4" t="n">
        <v>250000</v>
      </c>
    </row>
    <row r="5">
      <c r="A5" t="inlineStr">
        <is>
          <t>Gross Profit</t>
        </is>
      </c>
      <c r="B5" t="n">
        <v>0</v>
      </c>
      <c r="C5" t="n">
        <v>100000</v>
      </c>
    </row>
    <row r="6">
      <c r="A6" t="inlineStr">
        <is>
          <t>Net Profit</t>
        </is>
      </c>
      <c r="B6" t="n">
        <v>0</v>
      </c>
      <c r="C6" t="n">
        <v>40000</v>
      </c>
    </row>
    <row r="7">
      <c r="A7" t="inlineStr">
        <is>
          <t>Cash</t>
        </is>
      </c>
      <c r="B7" t="n">
        <v>0</v>
      </c>
      <c r="C7" t="n">
        <v>200000</v>
      </c>
    </row>
    <row r="8">
      <c r="A8" t="inlineStr">
        <is>
          <t>Payroll %</t>
        </is>
      </c>
      <c r="B8" t="n">
        <v>0</v>
      </c>
      <c r="C8" t="n">
        <v>0.5</v>
      </c>
    </row>
    <row r="9">
      <c r="A9" t="inlineStr">
        <is>
          <t>Clients</t>
        </is>
      </c>
      <c r="B9" t="n">
        <v>0</v>
      </c>
      <c r="C9" t="n">
        <v>250</v>
      </c>
    </row>
    <row r="10">
      <c r="A10" t="inlineStr">
        <is>
          <t>Care Hours</t>
        </is>
      </c>
      <c r="B10" t="n">
        <v>0</v>
      </c>
      <c r="C10" t="n">
        <v>7000</v>
      </c>
    </row>
    <row r="11">
      <c r="A11" t="inlineStr">
        <is>
          <t>Revenue/Care Hour</t>
        </is>
      </c>
      <c r="B11" t="n">
        <v>0</v>
      </c>
      <c r="C11" t="n">
        <v>36</v>
      </c>
    </row>
    <row r="12">
      <c r="A12" t="inlineStr">
        <is>
          <t>CQC Score</t>
        </is>
      </c>
      <c r="B12" t="n">
        <v>100</v>
      </c>
      <c r="C12" t="n">
        <v>100</v>
      </c>
    </row>
    <row r="13">
      <c r="A13" t="inlineStr">
        <is>
          <t>Staff Utilisation</t>
        </is>
      </c>
      <c r="B13" t="n">
        <v>0</v>
      </c>
      <c r="C13" t="n">
        <v>0.9</v>
      </c>
    </row>
    <row r="14">
      <c r="A14" t="inlineStr">
        <is>
          <t>Debtors</t>
        </is>
      </c>
      <c r="B14" t="n">
        <v>0</v>
      </c>
      <c r="C14" t="n">
        <v>25000</v>
      </c>
    </row>
    <row r="15">
      <c r="A15" t="inlineStr">
        <is>
          <t>EBITDA</t>
        </is>
      </c>
      <c r="B15" t="n">
        <v>0</v>
      </c>
      <c r="C15" t="n">
        <v>50000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Month</t>
        </is>
      </c>
      <c r="B1" s="3" t="inlineStr">
        <is>
          <t>Revenue</t>
        </is>
      </c>
      <c r="C1" s="3" t="inlineStr">
        <is>
          <t>COS</t>
        </is>
      </c>
      <c r="D1" s="3" t="inlineStr">
        <is>
          <t>Gross Profit</t>
        </is>
      </c>
      <c r="E1" s="3" t="inlineStr">
        <is>
          <t>Payroll</t>
        </is>
      </c>
      <c r="F1" s="3" t="inlineStr">
        <is>
          <t>Overheads</t>
        </is>
      </c>
      <c r="G1" s="3" t="inlineStr">
        <is>
          <t>Net Profit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Council</t>
        </is>
      </c>
      <c r="B1" s="3" t="inlineStr">
        <is>
          <t>Revenue</t>
        </is>
      </c>
      <c r="C1" s="3" t="inlineStr">
        <is>
          <t>Hours</t>
        </is>
      </c>
      <c r="D1" s="3" t="inlineStr">
        <is>
          <t>Margin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Service</t>
        </is>
      </c>
      <c r="B1" s="3" t="inlineStr">
        <is>
          <t>Revenue</t>
        </is>
      </c>
      <c r="C1" s="3" t="inlineStr">
        <is>
          <t>Hours</t>
        </is>
      </c>
      <c r="D1" s="3" t="inlineStr">
        <is>
          <t>Margin 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Month</t>
        </is>
      </c>
      <c r="B1" s="3" t="inlineStr">
        <is>
          <t>Revenue</t>
        </is>
      </c>
      <c r="C1" s="3" t="inlineStr">
        <is>
          <t>Expenses</t>
        </is>
      </c>
      <c r="D1" s="3" t="inlineStr">
        <is>
          <t>Cash</t>
        </is>
      </c>
      <c r="E1" s="3" t="inlineStr">
        <is>
          <t>Profit</t>
        </is>
      </c>
    </row>
    <row r="2">
      <c r="A2" t="inlineStr">
        <is>
          <t>M1</t>
        </is>
      </c>
      <c r="B2" t="n">
        <v>0</v>
      </c>
      <c r="C2" t="n">
        <v>0</v>
      </c>
      <c r="D2" t="n">
        <v>0</v>
      </c>
      <c r="E2">
        <f>D2+B2-C2</f>
        <v/>
      </c>
    </row>
    <row r="3">
      <c r="A3" t="inlineStr">
        <is>
          <t>M2</t>
        </is>
      </c>
      <c r="B3" t="n">
        <v>0</v>
      </c>
      <c r="C3" t="n">
        <v>0</v>
      </c>
      <c r="D3">
        <f>E2</f>
        <v/>
      </c>
      <c r="E3">
        <f>D3+B3-C3</f>
        <v/>
      </c>
    </row>
    <row r="4">
      <c r="A4" t="inlineStr">
        <is>
          <t>M3</t>
        </is>
      </c>
      <c r="B4" t="n">
        <v>0</v>
      </c>
      <c r="C4" t="n">
        <v>0</v>
      </c>
      <c r="D4">
        <f>E3</f>
        <v/>
      </c>
      <c r="E4">
        <f>D4+B4-C4</f>
        <v/>
      </c>
    </row>
    <row r="5">
      <c r="A5" t="inlineStr">
        <is>
          <t>M4</t>
        </is>
      </c>
      <c r="B5" t="n">
        <v>0</v>
      </c>
      <c r="C5" t="n">
        <v>0</v>
      </c>
      <c r="D5">
        <f>E4</f>
        <v/>
      </c>
      <c r="E5">
        <f>D5+B5-C5</f>
        <v/>
      </c>
    </row>
    <row r="6">
      <c r="A6" t="inlineStr">
        <is>
          <t>M5</t>
        </is>
      </c>
      <c r="B6" t="n">
        <v>0</v>
      </c>
      <c r="C6" t="n">
        <v>0</v>
      </c>
      <c r="D6">
        <f>E5</f>
        <v/>
      </c>
      <c r="E6">
        <f>D6+B6-C6</f>
        <v/>
      </c>
    </row>
    <row r="7">
      <c r="A7" t="inlineStr">
        <is>
          <t>M6</t>
        </is>
      </c>
      <c r="B7" t="n">
        <v>0</v>
      </c>
      <c r="C7" t="n">
        <v>0</v>
      </c>
      <c r="D7">
        <f>E6</f>
        <v/>
      </c>
      <c r="E7">
        <f>D7+B7-C7</f>
        <v/>
      </c>
    </row>
    <row r="8">
      <c r="A8" t="inlineStr">
        <is>
          <t>M7</t>
        </is>
      </c>
      <c r="B8" t="n">
        <v>0</v>
      </c>
      <c r="C8" t="n">
        <v>0</v>
      </c>
      <c r="D8">
        <f>E7</f>
        <v/>
      </c>
      <c r="E8">
        <f>D8+B8-C8</f>
        <v/>
      </c>
    </row>
    <row r="9">
      <c r="A9" t="inlineStr">
        <is>
          <t>M8</t>
        </is>
      </c>
      <c r="B9" t="n">
        <v>0</v>
      </c>
      <c r="C9" t="n">
        <v>0</v>
      </c>
      <c r="D9">
        <f>E8</f>
        <v/>
      </c>
      <c r="E9">
        <f>D9+B9-C9</f>
        <v/>
      </c>
    </row>
    <row r="10">
      <c r="A10" t="inlineStr">
        <is>
          <t>M9</t>
        </is>
      </c>
      <c r="B10" t="n">
        <v>0</v>
      </c>
      <c r="C10" t="n">
        <v>0</v>
      </c>
      <c r="D10">
        <f>E9</f>
        <v/>
      </c>
      <c r="E10">
        <f>D10+B10-C10</f>
        <v/>
      </c>
    </row>
    <row r="11">
      <c r="A11" t="inlineStr">
        <is>
          <t>M10</t>
        </is>
      </c>
      <c r="B11" t="n">
        <v>0</v>
      </c>
      <c r="C11" t="n">
        <v>0</v>
      </c>
      <c r="D11">
        <f>E10</f>
        <v/>
      </c>
      <c r="E11">
        <f>D11+B11-C11</f>
        <v/>
      </c>
    </row>
    <row r="12">
      <c r="A12" t="inlineStr">
        <is>
          <t>M11</t>
        </is>
      </c>
      <c r="B12" t="n">
        <v>0</v>
      </c>
      <c r="C12" t="n">
        <v>0</v>
      </c>
      <c r="D12">
        <f>E11</f>
        <v/>
      </c>
      <c r="E12">
        <f>D12+B12-C12</f>
        <v/>
      </c>
    </row>
    <row r="13">
      <c r="A13" t="inlineStr">
        <is>
          <t>M12</t>
        </is>
      </c>
      <c r="B13" t="n">
        <v>0</v>
      </c>
      <c r="C13" t="n">
        <v>0</v>
      </c>
      <c r="D13">
        <f>E12</f>
        <v/>
      </c>
      <c r="E13">
        <f>D13+B13-C13</f>
        <v/>
      </c>
    </row>
    <row r="14">
      <c r="A14" t="inlineStr">
        <is>
          <t>M13</t>
        </is>
      </c>
      <c r="B14" t="n">
        <v>0</v>
      </c>
      <c r="C14" t="n">
        <v>0</v>
      </c>
      <c r="D14">
        <f>E13</f>
        <v/>
      </c>
      <c r="E14">
        <f>D14+B14-C14</f>
        <v/>
      </c>
    </row>
    <row r="15">
      <c r="A15" t="inlineStr">
        <is>
          <t>M14</t>
        </is>
      </c>
      <c r="B15" t="n">
        <v>0</v>
      </c>
      <c r="C15" t="n">
        <v>0</v>
      </c>
      <c r="D15">
        <f>E14</f>
        <v/>
      </c>
      <c r="E15">
        <f>D15+B15-C15</f>
        <v/>
      </c>
    </row>
    <row r="16">
      <c r="A16" t="inlineStr">
        <is>
          <t>M15</t>
        </is>
      </c>
      <c r="B16" t="n">
        <v>0</v>
      </c>
      <c r="C16" t="n">
        <v>0</v>
      </c>
      <c r="D16">
        <f>E15</f>
        <v/>
      </c>
      <c r="E16">
        <f>D16+B16-C16</f>
        <v/>
      </c>
    </row>
    <row r="17">
      <c r="A17" t="inlineStr">
        <is>
          <t>M16</t>
        </is>
      </c>
      <c r="B17" t="n">
        <v>0</v>
      </c>
      <c r="C17" t="n">
        <v>0</v>
      </c>
      <c r="D17">
        <f>E16</f>
        <v/>
      </c>
      <c r="E17">
        <f>D17+B17-C17</f>
        <v/>
      </c>
    </row>
    <row r="18">
      <c r="A18" t="inlineStr">
        <is>
          <t>M17</t>
        </is>
      </c>
      <c r="B18" t="n">
        <v>0</v>
      </c>
      <c r="C18" t="n">
        <v>0</v>
      </c>
      <c r="D18">
        <f>E17</f>
        <v/>
      </c>
      <c r="E18">
        <f>D18+B18-C18</f>
        <v/>
      </c>
    </row>
    <row r="19">
      <c r="A19" t="inlineStr">
        <is>
          <t>M18</t>
        </is>
      </c>
      <c r="B19" t="n">
        <v>0</v>
      </c>
      <c r="C19" t="n">
        <v>0</v>
      </c>
      <c r="D19">
        <f>E18</f>
        <v/>
      </c>
      <c r="E19">
        <f>D19+B19-C19</f>
        <v/>
      </c>
    </row>
    <row r="20">
      <c r="A20" t="inlineStr">
        <is>
          <t>M19</t>
        </is>
      </c>
      <c r="B20" t="n">
        <v>0</v>
      </c>
      <c r="C20" t="n">
        <v>0</v>
      </c>
      <c r="D20">
        <f>E19</f>
        <v/>
      </c>
      <c r="E20">
        <f>D20+B20-C20</f>
        <v/>
      </c>
    </row>
    <row r="21">
      <c r="A21" t="inlineStr">
        <is>
          <t>M20</t>
        </is>
      </c>
      <c r="B21" t="n">
        <v>0</v>
      </c>
      <c r="C21" t="n">
        <v>0</v>
      </c>
      <c r="D21">
        <f>E20</f>
        <v/>
      </c>
      <c r="E21">
        <f>D21+B21-C21</f>
        <v/>
      </c>
    </row>
    <row r="22">
      <c r="A22" t="inlineStr">
        <is>
          <t>M21</t>
        </is>
      </c>
      <c r="B22" t="n">
        <v>0</v>
      </c>
      <c r="C22" t="n">
        <v>0</v>
      </c>
      <c r="D22">
        <f>E21</f>
        <v/>
      </c>
      <c r="E22">
        <f>D22+B22-C22</f>
        <v/>
      </c>
    </row>
    <row r="23">
      <c r="A23" t="inlineStr">
        <is>
          <t>M22</t>
        </is>
      </c>
      <c r="B23" t="n">
        <v>0</v>
      </c>
      <c r="C23" t="n">
        <v>0</v>
      </c>
      <c r="D23">
        <f>E22</f>
        <v/>
      </c>
      <c r="E23">
        <f>D23+B23-C23</f>
        <v/>
      </c>
    </row>
    <row r="24">
      <c r="A24" t="inlineStr">
        <is>
          <t>M23</t>
        </is>
      </c>
      <c r="B24" t="n">
        <v>0</v>
      </c>
      <c r="C24" t="n">
        <v>0</v>
      </c>
      <c r="D24">
        <f>E23</f>
        <v/>
      </c>
      <c r="E24">
        <f>D24+B24-C24</f>
        <v/>
      </c>
    </row>
    <row r="25">
      <c r="A25" t="inlineStr">
        <is>
          <t>M24</t>
        </is>
      </c>
      <c r="B25" t="n">
        <v>0</v>
      </c>
      <c r="C25" t="n">
        <v>0</v>
      </c>
      <c r="D25">
        <f>E24</f>
        <v/>
      </c>
      <c r="E25">
        <f>D25+B25-C25</f>
        <v/>
      </c>
    </row>
    <row r="26">
      <c r="A26" t="inlineStr">
        <is>
          <t>M25</t>
        </is>
      </c>
      <c r="B26" t="n">
        <v>0</v>
      </c>
      <c r="C26" t="n">
        <v>0</v>
      </c>
      <c r="D26">
        <f>E25</f>
        <v/>
      </c>
      <c r="E26">
        <f>D26+B26-C26</f>
        <v/>
      </c>
    </row>
    <row r="27">
      <c r="A27" t="inlineStr">
        <is>
          <t>M26</t>
        </is>
      </c>
      <c r="B27" t="n">
        <v>0</v>
      </c>
      <c r="C27" t="n">
        <v>0</v>
      </c>
      <c r="D27">
        <f>E26</f>
        <v/>
      </c>
      <c r="E27">
        <f>D27+B27-C27</f>
        <v/>
      </c>
    </row>
    <row r="28">
      <c r="A28" t="inlineStr">
        <is>
          <t>M27</t>
        </is>
      </c>
      <c r="B28" t="n">
        <v>0</v>
      </c>
      <c r="C28" t="n">
        <v>0</v>
      </c>
      <c r="D28">
        <f>E27</f>
        <v/>
      </c>
      <c r="E28">
        <f>D28+B28-C28</f>
        <v/>
      </c>
    </row>
    <row r="29">
      <c r="A29" t="inlineStr">
        <is>
          <t>M28</t>
        </is>
      </c>
      <c r="B29" t="n">
        <v>0</v>
      </c>
      <c r="C29" t="n">
        <v>0</v>
      </c>
      <c r="D29">
        <f>E28</f>
        <v/>
      </c>
      <c r="E29">
        <f>D29+B29-C29</f>
        <v/>
      </c>
    </row>
    <row r="30">
      <c r="A30" t="inlineStr">
        <is>
          <t>M29</t>
        </is>
      </c>
      <c r="B30" t="n">
        <v>0</v>
      </c>
      <c r="C30" t="n">
        <v>0</v>
      </c>
      <c r="D30">
        <f>E29</f>
        <v/>
      </c>
      <c r="E30">
        <f>D30+B30-C30</f>
        <v/>
      </c>
    </row>
    <row r="31">
      <c r="A31" t="inlineStr">
        <is>
          <t>M30</t>
        </is>
      </c>
      <c r="B31" t="n">
        <v>0</v>
      </c>
      <c r="C31" t="n">
        <v>0</v>
      </c>
      <c r="D31">
        <f>E30</f>
        <v/>
      </c>
      <c r="E31">
        <f>D31+B31-C31</f>
        <v/>
      </c>
    </row>
    <row r="32">
      <c r="A32" t="inlineStr">
        <is>
          <t>M31</t>
        </is>
      </c>
      <c r="B32" t="n">
        <v>0</v>
      </c>
      <c r="C32" t="n">
        <v>0</v>
      </c>
      <c r="D32">
        <f>E31</f>
        <v/>
      </c>
      <c r="E32">
        <f>D32+B32-C32</f>
        <v/>
      </c>
    </row>
    <row r="33">
      <c r="A33" t="inlineStr">
        <is>
          <t>M32</t>
        </is>
      </c>
      <c r="B33" t="n">
        <v>0</v>
      </c>
      <c r="C33" t="n">
        <v>0</v>
      </c>
      <c r="D33">
        <f>E32</f>
        <v/>
      </c>
      <c r="E33">
        <f>D33+B33-C33</f>
        <v/>
      </c>
    </row>
    <row r="34">
      <c r="A34" t="inlineStr">
        <is>
          <t>M33</t>
        </is>
      </c>
      <c r="B34" t="n">
        <v>0</v>
      </c>
      <c r="C34" t="n">
        <v>0</v>
      </c>
      <c r="D34">
        <f>E33</f>
        <v/>
      </c>
      <c r="E34">
        <f>D34+B34-C34</f>
        <v/>
      </c>
    </row>
    <row r="35">
      <c r="A35" t="inlineStr">
        <is>
          <t>M34</t>
        </is>
      </c>
      <c r="B35" t="n">
        <v>0</v>
      </c>
      <c r="C35" t="n">
        <v>0</v>
      </c>
      <c r="D35">
        <f>E34</f>
        <v/>
      </c>
      <c r="E35">
        <f>D35+B35-C35</f>
        <v/>
      </c>
    </row>
    <row r="36">
      <c r="A36" t="inlineStr">
        <is>
          <t>M35</t>
        </is>
      </c>
      <c r="B36" t="n">
        <v>0</v>
      </c>
      <c r="C36" t="n">
        <v>0</v>
      </c>
      <c r="D36">
        <f>E35</f>
        <v/>
      </c>
      <c r="E36">
        <f>D36+B36-C36</f>
        <v/>
      </c>
    </row>
    <row r="37">
      <c r="A37" t="inlineStr">
        <is>
          <t>M36</t>
        </is>
      </c>
      <c r="B37" t="n">
        <v>0</v>
      </c>
      <c r="C37" t="n">
        <v>0</v>
      </c>
      <c r="D37">
        <f>E36</f>
        <v/>
      </c>
      <c r="E37">
        <f>D37+B37-C37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Employee</t>
        </is>
      </c>
      <c r="B1" s="3" t="inlineStr">
        <is>
          <t>Role</t>
        </is>
      </c>
      <c r="C1" s="3" t="inlineStr">
        <is>
          <t>Department</t>
        </is>
      </c>
      <c r="D1" s="3" t="inlineStr">
        <is>
          <t>Hours</t>
        </is>
      </c>
      <c r="E1" s="3" t="inlineStr">
        <is>
          <t>Rate</t>
        </is>
      </c>
      <c r="F1" s="3" t="inlineStr">
        <is>
          <t>Gross</t>
        </is>
      </c>
      <c r="G1" s="3" t="inlineStr">
        <is>
          <t>NI</t>
        </is>
      </c>
      <c r="H1" s="3" t="inlineStr">
        <is>
          <t>Pension</t>
        </is>
      </c>
      <c r="I1" s="3" t="inlineStr">
        <is>
          <t>Total</t>
        </is>
      </c>
    </row>
  </sheetData>
  <dataValidations count="1">
    <dataValidation sqref="C2:C500" showDropDown="0" showInputMessage="0" showErrorMessage="0" allowBlank="0" type="list">
      <formula1>"Care,Management,HR,Finance,Operations"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Candidate</t>
        </is>
      </c>
      <c r="B1" s="3" t="inlineStr">
        <is>
          <t>Role</t>
        </is>
      </c>
      <c r="C1" s="3" t="inlineStr">
        <is>
          <t>Stage</t>
        </is>
      </c>
      <c r="D1" s="3" t="inlineStr">
        <is>
          <t>Cost</t>
        </is>
      </c>
      <c r="E1" s="3" t="inlineStr">
        <is>
          <t>Status</t>
        </is>
      </c>
    </row>
  </sheetData>
  <dataValidations count="1">
    <dataValidation sqref="E2:E300" showDropDown="0" showInputMessage="0" showErrorMessage="0" allowBlank="0" type="list">
      <formula1>"Applied,Interview,Offer,Hired,Rejected"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Client</t>
        </is>
      </c>
      <c r="B1" s="3" t="inlineStr">
        <is>
          <t>Current</t>
        </is>
      </c>
      <c r="C1" s="3" t="inlineStr">
        <is>
          <t>30 Days</t>
        </is>
      </c>
      <c r="D1" s="3" t="inlineStr">
        <is>
          <t>60 Days</t>
        </is>
      </c>
      <c r="E1" s="3" t="inlineStr">
        <is>
          <t>90+ Days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Supplier</t>
        </is>
      </c>
      <c r="B1" s="3" t="inlineStr">
        <is>
          <t>Invoice</t>
        </is>
      </c>
      <c r="C1" s="3" t="inlineStr">
        <is>
          <t>Due</t>
        </is>
      </c>
      <c r="D1" s="3" t="inlineStr">
        <is>
          <t>Amount</t>
        </is>
      </c>
      <c r="E1" s="3" t="inlineStr">
        <is>
          <t>Paid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Invoice</t>
        </is>
      </c>
      <c r="B1" s="3" t="inlineStr">
        <is>
          <t>Client</t>
        </is>
      </c>
      <c r="C1" s="3" t="inlineStr">
        <is>
          <t>Date</t>
        </is>
      </c>
      <c r="D1" s="3" t="inlineStr">
        <is>
          <t>Amount</t>
        </is>
      </c>
      <c r="E1" s="3" t="inlineStr">
        <is>
          <t>Paid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Project</t>
        </is>
      </c>
      <c r="B1" s="3" t="inlineStr">
        <is>
          <t>Budget</t>
        </is>
      </c>
      <c r="C1" s="3" t="inlineStr">
        <is>
          <t>Spent</t>
        </is>
      </c>
      <c r="D1" s="3" t="inlineStr">
        <is>
          <t>Remaining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Month</t>
        </is>
      </c>
      <c r="B1" s="3" t="inlineStr">
        <is>
          <t>Opening</t>
        </is>
      </c>
      <c r="C1" s="3" t="inlineStr">
        <is>
          <t>Income</t>
        </is>
      </c>
      <c r="D1" s="3" t="inlineStr">
        <is>
          <t>Expenses</t>
        </is>
      </c>
      <c r="E1" s="3" t="inlineStr">
        <is>
          <t>Closing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Department</t>
        </is>
      </c>
      <c r="B1" s="3" t="inlineStr">
        <is>
          <t>Budget</t>
        </is>
      </c>
      <c r="C1" s="3" t="inlineStr">
        <is>
          <t>Actual</t>
        </is>
      </c>
      <c r="D1" s="3" t="inlineStr">
        <is>
          <t>Variance</t>
        </is>
      </c>
    </row>
    <row r="2">
      <c r="A2" t="inlineStr">
        <is>
          <t>Care</t>
        </is>
      </c>
      <c r="D2">
        <f>B2-C2</f>
        <v/>
      </c>
    </row>
    <row r="3">
      <c r="A3" t="inlineStr">
        <is>
          <t>Operations</t>
        </is>
      </c>
      <c r="D3">
        <f>B3-C3</f>
        <v/>
      </c>
    </row>
    <row r="4">
      <c r="A4" t="inlineStr">
        <is>
          <t>HR</t>
        </is>
      </c>
      <c r="D4">
        <f>B4-C4</f>
        <v/>
      </c>
    </row>
    <row r="5">
      <c r="A5" t="inlineStr">
        <is>
          <t>Finance</t>
        </is>
      </c>
      <c r="D5">
        <f>B5-C5</f>
        <v/>
      </c>
    </row>
    <row r="6">
      <c r="A6" t="inlineStr">
        <is>
          <t>Recruitment</t>
        </is>
      </c>
      <c r="D6">
        <f>B6-C6</f>
        <v/>
      </c>
    </row>
    <row r="7">
      <c r="A7" t="inlineStr">
        <is>
          <t>Marketing</t>
        </is>
      </c>
      <c r="D7">
        <f>B7-C7</f>
        <v/>
      </c>
    </row>
    <row r="8">
      <c r="A8" t="inlineStr">
        <is>
          <t>Compliance</t>
        </is>
      </c>
      <c r="D8">
        <f>B8-C8</f>
        <v/>
      </c>
    </row>
    <row r="9">
      <c r="A9" t="inlineStr">
        <is>
          <t>IT</t>
        </is>
      </c>
      <c r="D9">
        <f>B9-C9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Risk</t>
        </is>
      </c>
      <c r="B1" s="3" t="inlineStr">
        <is>
          <t>Impact</t>
        </is>
      </c>
      <c r="C1" s="3" t="inlineStr">
        <is>
          <t>Likelihood</t>
        </is>
      </c>
      <c r="D1" s="3" t="inlineStr">
        <is>
          <t>Mitigation</t>
        </is>
      </c>
      <c r="E1" s="3" t="inlineStr">
        <is>
          <t>Owner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Requirement</t>
        </is>
      </c>
      <c r="B1" s="3" t="inlineStr">
        <is>
          <t>Status</t>
        </is>
      </c>
      <c r="C1" s="3" t="inlineStr">
        <is>
          <t>Owner</t>
        </is>
      </c>
      <c r="D1" s="3" t="inlineStr">
        <is>
          <t>Due Date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Asset</t>
        </is>
      </c>
      <c r="B1" s="3" t="inlineStr">
        <is>
          <t>Cost</t>
        </is>
      </c>
      <c r="C1" s="3" t="inlineStr">
        <is>
          <t>Life (yrs)</t>
        </is>
      </c>
      <c r="D1" s="3" t="inlineStr">
        <is>
          <t>Annual Dep.</t>
        </is>
      </c>
      <c r="E1" s="3" t="inlineStr">
        <is>
          <t>Book Value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Vehicle</t>
        </is>
      </c>
      <c r="B1" s="3" t="inlineStr">
        <is>
          <t>Mileage</t>
        </is>
      </c>
      <c r="C1" s="3" t="inlineStr">
        <is>
          <t>Fuel</t>
        </is>
      </c>
      <c r="D1" s="3" t="inlineStr">
        <is>
          <t>Service</t>
        </is>
      </c>
      <c r="E1" s="3" t="inlineStr">
        <is>
          <t>Insurance</t>
        </is>
      </c>
      <c r="F1" s="3" t="inlineStr">
        <is>
          <t>Total Cost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Location</t>
        </is>
      </c>
      <c r="B1" s="3" t="inlineStr">
        <is>
          <t>Rent</t>
        </is>
      </c>
      <c r="C1" s="3" t="inlineStr">
        <is>
          <t>Utilities</t>
        </is>
      </c>
      <c r="D1" s="3" t="inlineStr">
        <is>
          <t>Maintenance</t>
        </is>
      </c>
      <c r="E1" s="3" t="inlineStr">
        <is>
          <t>Total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Item</t>
        </is>
      </c>
      <c r="B1" s="3" t="inlineStr">
        <is>
          <t>In Stock</t>
        </is>
      </c>
      <c r="C1" s="3" t="inlineStr">
        <is>
          <t>Min</t>
        </is>
      </c>
      <c r="D1" s="3" t="inlineStr">
        <is>
          <t>Order Qty</t>
        </is>
      </c>
      <c r="E1" s="3" t="inlineStr">
        <is>
          <t>Value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Metric</t>
        </is>
      </c>
      <c r="B1" s="3" t="inlineStr">
        <is>
          <t>Current</t>
        </is>
      </c>
      <c r="C1" s="3" t="inlineStr">
        <is>
          <t>Previous</t>
        </is>
      </c>
      <c r="D1" s="3" t="inlineStr">
        <is>
          <t>Variance</t>
        </is>
      </c>
      <c r="E1" s="3" t="inlineStr">
        <is>
          <t>Commentary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Metric</t>
        </is>
      </c>
      <c r="B1" s="3" t="inlineStr">
        <is>
          <t>Value</t>
        </is>
      </c>
      <c r="C1" s="3" t="inlineStr">
        <is>
          <t>Comment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Variable</t>
        </is>
      </c>
      <c r="B1" s="3" t="inlineStr">
        <is>
          <t>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2026-07-07T11:34:30Z</dcterms:created>
  <dcterms:modified xmlns:dcterms="http://purl.org/dc/terms/" xmlns:xsi="http://www.w3.org/2001/XMLSchema-instance" xsi:type="dcterms:W3CDTF">2026-07-07T11:34:30Z</dcterms:modified>
</cp:coreProperties>
</file>